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db1d4d0ddaae6b/Documentos/DIO/Exercicios/"/>
    </mc:Choice>
  </mc:AlternateContent>
  <xr:revisionPtr revIDLastSave="16" documentId="8_{62E7F48F-705C-488A-92FA-142A3DF12214}" xr6:coauthVersionLast="47" xr6:coauthVersionMax="47" xr10:uidLastSave="{9D6BBC32-8E82-413D-A3FC-537AB8D8222A}"/>
  <bookViews>
    <workbookView xWindow="-108" yWindow="-108" windowWidth="23256" windowHeight="12456" xr2:uid="{4E8AD1C2-6A3A-4BDA-B698-D207EF11FD13}"/>
  </bookViews>
  <sheets>
    <sheet name="APP" sheetId="1" r:id="rId1"/>
    <sheet name="PlanilhadeApoio" sheetId="2" r:id="rId2"/>
  </sheets>
  <definedNames>
    <definedName name="aporte">APP!$D$17</definedName>
    <definedName name="patrimonio">APP!$D$20</definedName>
    <definedName name="qtde_anos">APP!$D$18</definedName>
    <definedName name="rendimento_carteira">APP!$D$13</definedName>
    <definedName name="salario">APP!$B$12</definedName>
    <definedName name="sugestao">APP!$B$14</definedName>
    <definedName name="taxa_anos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 s="1"/>
  <c r="C39" i="1"/>
  <c r="D39" i="1" s="1"/>
  <c r="C34" i="1"/>
  <c r="D34" i="1" s="1"/>
  <c r="H6" i="2"/>
  <c r="A18" i="2"/>
  <c r="A19" i="2"/>
  <c r="A20" i="2"/>
  <c r="A21" i="2"/>
  <c r="A22" i="2"/>
  <c r="A17" i="2"/>
  <c r="A12" i="2"/>
  <c r="A13" i="2"/>
  <c r="A14" i="2"/>
  <c r="A15" i="2"/>
  <c r="A16" i="2"/>
  <c r="A11" i="2"/>
  <c r="A6" i="2"/>
  <c r="A7" i="2"/>
  <c r="A8" i="2"/>
  <c r="A9" i="2"/>
  <c r="A10" i="2"/>
  <c r="A5" i="2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40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<sst xmlns="http://schemas.openxmlformats.org/spreadsheetml/2006/main" count="70" uniqueCount="34">
  <si>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</si>
  <si>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</si>
  <si>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</si>
  <si>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</si>
  <si>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</si>
  <si>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</si>
  <si>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02 anos?</t>
  </si>
  <si>
    <t>Quanto em 05 anos?</t>
  </si>
  <si>
    <t>Quanto em 10 anos?</t>
  </si>
  <si>
    <t>Quanto em 20 anos?</t>
  </si>
  <si>
    <t>Quanto em 30 anos?</t>
  </si>
  <si>
    <t>CENÁRIOS</t>
  </si>
  <si>
    <t>Dividendos</t>
  </si>
  <si>
    <t>Rendimento carteira</t>
  </si>
  <si>
    <t>Salário</t>
  </si>
  <si>
    <t>Sugestão de investimento</t>
  </si>
  <si>
    <t>CONFIGURAÇÕES</t>
  </si>
  <si>
    <t>AGRESSIVO</t>
  </si>
  <si>
    <t>VALOR A SER INVESTIDO POR MÊS</t>
  </si>
  <si>
    <t>PERFIL</t>
  </si>
  <si>
    <t>TIPOS DE FI</t>
  </si>
  <si>
    <t>Percentual sugerido</t>
  </si>
  <si>
    <t>Valores</t>
  </si>
  <si>
    <t>PAPEL</t>
  </si>
  <si>
    <t>TIJOLO</t>
  </si>
  <si>
    <t>HÍBRIDOS</t>
  </si>
  <si>
    <t>FOF´s</t>
  </si>
  <si>
    <t>DESENVOLVIMENTO</t>
  </si>
  <si>
    <t>HOTELARIA</t>
  </si>
  <si>
    <t>CONSERVADOR</t>
  </si>
  <si>
    <t>%</t>
  </si>
  <si>
    <t>CHAVE</t>
  </si>
  <si>
    <t>MODERADO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</si>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</sst>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_-[$R$-416]\ * #,##0.00_-;\-[$R$-416]\ * #,##0.00_-;_-[$R$-416]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0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8" fontId="0" fillId="0" borderId="4" xfId="0" applyNumberFormat="1" applyBorder="1"/>
    <xf numFmtId="0" fontId="6" fillId="5" borderId="11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/>
    </xf>
    <xf numFmtId="44" fontId="7" fillId="4" borderId="15" xfId="1" applyFont="1" applyFill="1" applyBorder="1" applyAlignment="1">
      <alignment horizontal="center"/>
    </xf>
    <xf numFmtId="44" fontId="7" fillId="4" borderId="8" xfId="1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44" fontId="7" fillId="4" borderId="16" xfId="1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44" fontId="7" fillId="4" borderId="17" xfId="1" applyFont="1" applyFill="1" applyBorder="1" applyAlignment="1">
      <alignment horizontal="center"/>
    </xf>
    <xf numFmtId="44" fontId="7" fillId="4" borderId="18" xfId="1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168" fontId="7" fillId="6" borderId="22" xfId="0" applyNumberFormat="1" applyFont="1" applyFill="1" applyBorder="1" applyAlignment="1">
      <alignment vertical="center"/>
    </xf>
    <xf numFmtId="0" fontId="7" fillId="4" borderId="23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10" fontId="7" fillId="6" borderId="25" xfId="2" applyNumberFormat="1" applyFont="1" applyFill="1" applyBorder="1" applyAlignment="1">
      <alignment horizontal="right" vertical="center"/>
    </xf>
    <xf numFmtId="0" fontId="7" fillId="4" borderId="2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168" fontId="7" fillId="4" borderId="28" xfId="0" applyNumberFormat="1" applyFont="1" applyFill="1" applyBorder="1" applyAlignment="1">
      <alignment vertical="center"/>
    </xf>
    <xf numFmtId="44" fontId="7" fillId="0" borderId="22" xfId="1" applyFont="1" applyBorder="1" applyAlignment="1">
      <alignment horizontal="center" vertical="center"/>
    </xf>
    <xf numFmtId="1" fontId="7" fillId="0" borderId="25" xfId="1" applyNumberFormat="1" applyFont="1" applyBorder="1" applyAlignment="1">
      <alignment horizontal="right" vertical="center"/>
    </xf>
    <xf numFmtId="10" fontId="7" fillId="0" borderId="25" xfId="2" applyNumberFormat="1" applyFont="1" applyBorder="1" applyAlignment="1">
      <alignment horizontal="right" vertical="center"/>
    </xf>
    <xf numFmtId="0" fontId="8" fillId="4" borderId="23" xfId="0" applyFont="1" applyFill="1" applyBorder="1" applyAlignment="1">
      <alignment horizontal="center"/>
    </xf>
    <xf numFmtId="0" fontId="8" fillId="4" borderId="24" xfId="0" applyFont="1" applyFill="1" applyBorder="1" applyAlignment="1">
      <alignment horizontal="center"/>
    </xf>
    <xf numFmtId="44" fontId="8" fillId="4" borderId="25" xfId="1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44" fontId="8" fillId="4" borderId="28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0" fillId="0" borderId="14" xfId="0" applyBorder="1"/>
    <xf numFmtId="0" fontId="0" fillId="0" borderId="14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10" fontId="0" fillId="0" borderId="0" xfId="0" applyNumberFormat="1"/>
    <xf numFmtId="0" fontId="2" fillId="2" borderId="1" xfId="3" applyBorder="1" applyAlignment="1">
      <alignment horizontal="center"/>
    </xf>
    <xf numFmtId="0" fontId="2" fillId="2" borderId="13" xfId="3" applyBorder="1" applyAlignment="1">
      <alignment horizontal="center"/>
    </xf>
    <xf numFmtId="0" fontId="2" fillId="2" borderId="2" xfId="3" applyBorder="1"/>
    <xf numFmtId="0" fontId="4" fillId="0" borderId="5" xfId="0" applyFont="1" applyBorder="1" applyAlignment="1">
      <alignment horizontal="center"/>
    </xf>
    <xf numFmtId="8" fontId="4" fillId="7" borderId="14" xfId="0" applyNumberFormat="1" applyFont="1" applyFill="1" applyBorder="1" applyAlignment="1">
      <alignment horizontal="center"/>
    </xf>
    <xf numFmtId="0" fontId="0" fillId="7" borderId="6" xfId="0" applyFill="1" applyBorder="1"/>
    <xf numFmtId="0" fontId="3" fillId="8" borderId="1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8" borderId="5" xfId="0" applyFill="1" applyBorder="1"/>
    <xf numFmtId="0" fontId="0" fillId="8" borderId="14" xfId="0" applyFill="1" applyBorder="1"/>
    <xf numFmtId="8" fontId="3" fillId="8" borderId="6" xfId="0" applyNumberFormat="1" applyFont="1" applyFill="1" applyBorder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FOF´s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3-418B-B22B-54B392206E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624840</xdr:colOff>
      <xdr:row>0</xdr:row>
      <xdr:rowOff>0</xdr:rowOff>
    </xdr:from>
    <xdr:to>
      <xdr:col>3</xdr:col>
      <xdr:colOff>1143000</xdr:colOff>
      <xdr:row>8</xdr:row>
      <xdr:rowOff>129540</xdr:rowOff>
    </xdr:to>
    <xdr:pic>
      <xdr:nvPicPr>
        <xdr:cNvPr id="3" name="Imagem 2" descr="Um gráfico de ações com diagramas azuis">
          <a:extLst>
            <a:ext uri="{FF2B5EF4-FFF2-40B4-BE49-F238E27FC236}">
              <a16:creationId xmlns:a16="http://schemas.microsoft.com/office/drawing/2014/main" id="{DC537152-0FAB-D57D-FAE4-0562EF86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0"/>
          <a:ext cx="5394960" cy="1592580"/>
        </a:xfrm>
        <a:prstGeom prst="rect">
          <a:avLst/>
        </a:prstGeom>
      </xdr:spPr>
    </xdr:pic>
    <xdr:clientData/>
  </xdr:twoCellAnchor>
  <xdr:twoCellAnchor>
    <xdr:from>
      <xdr:col>0</xdr:col>
      <xdr:colOff>678180</xdr:colOff>
      <xdr:row>40</xdr:row>
      <xdr:rowOff>110490</xdr:rowOff>
    </xdr:from>
    <xdr:to>
      <xdr:col>3</xdr:col>
      <xdr:colOff>1135380</xdr:colOff>
      <xdr:row>55</xdr:row>
      <xdr:rowOff>110490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80742B44-ED6A-9187-66F8-EFD7144CB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23B7-A8C1-4831-883B-32368063982A}">
  <dimension ref="A9:F40"/>
  <sheetViews>
    <sheetView showGridLines="0" tabSelected="1" topLeftCell="A26" workbookViewId="0">
      <selection activeCell="E41" sqref="E41"/>
    </sheetView>
  </sheetViews>
  <sheetFormatPr defaultColWidth="0" defaultRowHeight="14.4" x14ac:dyDescent="0.3"/>
  <cols>
    <col min="1" max="1" width="10" customWidth="1"/>
    <col min="2" max="2" width="29.5546875" bestFit="1" customWidth="1"/>
    <col min="3" max="3" width="31.5546875" bestFit="1" customWidth="1"/>
    <col min="4" max="4" width="16.77734375" bestFit="1" customWidth="1"/>
    <col min="5" max="5" width="10" customWidth="1"/>
    <col min="6" max="6" width="10.5546875" hidden="1" customWidth="1"/>
    <col min="7" max="11" width="8.88671875" hidden="1" customWidth="1"/>
    <col min="12" max="16384" width="8.88671875" hidden="1"/>
  </cols>
  <sheetData>
    <row r="9" spans="2:4" ht="13.2" customHeight="1" x14ac:dyDescent="0.3"/>
    <row r="10" spans="2:4" ht="15" thickBot="1" x14ac:dyDescent="0.35"/>
    <row r="11" spans="2:4" ht="33.6" customHeight="1" thickBot="1" x14ac:dyDescent="0.35">
      <c r="B11" s="4" t="s">
        <v>16</v>
      </c>
      <c r="C11" s="5"/>
      <c r="D11" s="6"/>
    </row>
    <row r="12" spans="2:4" ht="19.2" x14ac:dyDescent="0.45">
      <c r="B12" s="21" t="s">
        <v>14</v>
      </c>
      <c r="C12" s="22"/>
      <c r="D12" s="23">
        <v>5000</v>
      </c>
    </row>
    <row r="13" spans="2:4" ht="19.2" x14ac:dyDescent="0.45">
      <c r="B13" s="24" t="s">
        <v>13</v>
      </c>
      <c r="C13" s="25"/>
      <c r="D13" s="26">
        <v>6.0000000000000001E-3</v>
      </c>
    </row>
    <row r="14" spans="2:4" ht="19.8" thickBot="1" x14ac:dyDescent="0.5">
      <c r="B14" s="27" t="s">
        <v>15</v>
      </c>
      <c r="C14" s="28"/>
      <c r="D14" s="29">
        <f>D12*30%</f>
        <v>1500</v>
      </c>
    </row>
    <row r="15" spans="2:4" ht="15" thickBot="1" x14ac:dyDescent="0.35"/>
    <row r="16" spans="2:4" ht="33.6" customHeight="1" thickBot="1" x14ac:dyDescent="0.35">
      <c r="B16" s="7" t="s">
        <v>5</v>
      </c>
      <c r="C16" s="8"/>
      <c r="D16" s="9"/>
    </row>
    <row r="17" spans="1:4" ht="19.2" customHeight="1" x14ac:dyDescent="0.45">
      <c r="B17" s="21" t="s">
        <v>0</v>
      </c>
      <c r="C17" s="22"/>
      <c r="D17" s="30">
        <v>500</v>
      </c>
    </row>
    <row r="18" spans="1:4" ht="19.2" customHeight="1" x14ac:dyDescent="0.45">
      <c r="B18" s="24" t="s">
        <v>1</v>
      </c>
      <c r="C18" s="25"/>
      <c r="D18" s="31">
        <v>5</v>
      </c>
    </row>
    <row r="19" spans="1:4" ht="19.2" customHeight="1" x14ac:dyDescent="0.45">
      <c r="B19" s="24" t="s">
        <v>2</v>
      </c>
      <c r="C19" s="25"/>
      <c r="D19" s="32">
        <v>1.0789999999999999E-2</v>
      </c>
    </row>
    <row r="20" spans="1:4" ht="19.2" customHeight="1" x14ac:dyDescent="0.45">
      <c r="B20" s="33" t="s">
        <v>3</v>
      </c>
      <c r="C20" s="34"/>
      <c r="D20" s="35">
        <f>FV(taxa_anos,qtde_anos*12,aporte*-1)</f>
        <v>41888.456999243819</v>
      </c>
    </row>
    <row r="21" spans="1:4" ht="19.2" customHeight="1" thickBot="1" x14ac:dyDescent="0.5">
      <c r="B21" s="36" t="s">
        <v>4</v>
      </c>
      <c r="C21" s="37"/>
      <c r="D21" s="38">
        <f>patrimonio*$D$13</f>
        <v>251.33074199546292</v>
      </c>
    </row>
    <row r="22" spans="1:4" ht="15" thickBot="1" x14ac:dyDescent="0.35"/>
    <row r="23" spans="1:4" ht="33.6" customHeight="1" x14ac:dyDescent="0.3">
      <c r="B23" s="10" t="s">
        <v>11</v>
      </c>
      <c r="C23" s="11"/>
      <c r="D23" s="12" t="s">
        <v>12</v>
      </c>
    </row>
    <row r="24" spans="1:4" ht="19.2" customHeight="1" x14ac:dyDescent="0.45">
      <c r="A24" s="1">
        <v>2</v>
      </c>
      <c r="B24" s="13" t="s">
        <v>6</v>
      </c>
      <c r="C24" s="14">
        <f>FV($D$19,$A24*12,$D$17*-1)</f>
        <v>13613.813648822608</v>
      </c>
      <c r="D24" s="15">
        <f>C24*rendimento_carteira</f>
        <v>81.682881892935654</v>
      </c>
    </row>
    <row r="25" spans="1:4" ht="19.2" customHeight="1" x14ac:dyDescent="0.45">
      <c r="A25" s="1">
        <v>5</v>
      </c>
      <c r="B25" s="16" t="s">
        <v>7</v>
      </c>
      <c r="C25" s="17">
        <f>FV($D$19,$A25*12,$D$17*-1)</f>
        <v>41888.456999243819</v>
      </c>
      <c r="D25" s="15">
        <f>C25*rendimento_carteira</f>
        <v>251.33074199546292</v>
      </c>
    </row>
    <row r="26" spans="1:4" ht="19.2" customHeight="1" x14ac:dyDescent="0.45">
      <c r="A26" s="1">
        <v>10</v>
      </c>
      <c r="B26" s="16" t="s">
        <v>8</v>
      </c>
      <c r="C26" s="17">
        <f>FV($D$19,$A26*12,$D$17*-1)</f>
        <v>121642.1062650861</v>
      </c>
      <c r="D26" s="15">
        <f>C26*rendimento_carteira</f>
        <v>729.85263759051657</v>
      </c>
    </row>
    <row r="27" spans="1:4" ht="19.2" customHeight="1" x14ac:dyDescent="0.45">
      <c r="A27" s="1">
        <v>20</v>
      </c>
      <c r="B27" s="16" t="s">
        <v>9</v>
      </c>
      <c r="C27" s="17">
        <f>FV($D$19,$A27*12,$D$17*-1)</f>
        <v>562599.20004854025</v>
      </c>
      <c r="D27" s="15">
        <f>C27*rendimento_carteira</f>
        <v>3375.5952002912418</v>
      </c>
    </row>
    <row r="28" spans="1:4" ht="19.2" customHeight="1" thickBot="1" x14ac:dyDescent="0.5">
      <c r="A28" s="1">
        <v>30</v>
      </c>
      <c r="B28" s="18" t="s">
        <v>10</v>
      </c>
      <c r="C28" s="19">
        <f>FV($D$19,$A28*12,$D$17*-1)</f>
        <v>2161084.8275023573</v>
      </c>
      <c r="D28" s="20">
        <f>C28*rendimento_carteira</f>
        <v>12966.508965014144</v>
      </c>
    </row>
    <row r="29" spans="1:4" ht="15" thickBot="1" x14ac:dyDescent="0.35"/>
    <row r="30" spans="1:4" x14ac:dyDescent="0.3">
      <c r="B30" s="46" t="s">
        <v>19</v>
      </c>
      <c r="C30" s="47" t="s">
        <v>17</v>
      </c>
      <c r="D30" s="48"/>
    </row>
    <row r="31" spans="1:4" ht="15" thickBot="1" x14ac:dyDescent="0.35">
      <c r="B31" s="49" t="s">
        <v>18</v>
      </c>
      <c r="C31" s="50">
        <v>250</v>
      </c>
      <c r="D31" s="51"/>
    </row>
    <row r="32" spans="1:4" ht="15" thickBot="1" x14ac:dyDescent="0.35"/>
    <row r="33" spans="2:4" x14ac:dyDescent="0.3">
      <c r="B33" s="52" t="s">
        <v>20</v>
      </c>
      <c r="C33" s="53" t="s">
        <v>21</v>
      </c>
      <c r="D33" s="54" t="s">
        <v>22</v>
      </c>
    </row>
    <row r="34" spans="2:4" x14ac:dyDescent="0.3">
      <c r="B34" s="55" t="s">
        <v>23</v>
      </c>
      <c r="C34" s="56">
        <f>VLOOKUP($C$30&amp;"-"&amp;B34,PlanilhadeApoio!A:D,4,FALSE)</f>
        <v>0.5</v>
      </c>
      <c r="D34" s="3">
        <f>C34*$C$31</f>
        <v>125</v>
      </c>
    </row>
    <row r="35" spans="2:4" x14ac:dyDescent="0.3">
      <c r="B35" s="55" t="s">
        <v>24</v>
      </c>
      <c r="C35" s="56">
        <f>VLOOKUP($C$30&amp;"-"&amp;B35,PlanilhadeApoio!A:D,4,FALSE)</f>
        <v>0.1</v>
      </c>
      <c r="D35" s="3">
        <f t="shared" ref="D35:D39" si="0">C35*$C$31</f>
        <v>25</v>
      </c>
    </row>
    <row r="36" spans="2:4" x14ac:dyDescent="0.3">
      <c r="B36" s="55" t="s">
        <v>25</v>
      </c>
      <c r="C36" s="56">
        <f>VLOOKUP($C$30&amp;"-"&amp;B36,PlanilhadeApoio!A:D,4,FALSE)</f>
        <v>0.05</v>
      </c>
      <c r="D36" s="3">
        <f t="shared" si="0"/>
        <v>12.5</v>
      </c>
    </row>
    <row r="37" spans="2:4" x14ac:dyDescent="0.3">
      <c r="B37" s="55" t="s">
        <v>26</v>
      </c>
      <c r="C37" s="56">
        <f>VLOOKUP($C$30&amp;"-"&amp;B37,PlanilhadeApoio!A:D,4,FALSE)</f>
        <v>0.05</v>
      </c>
      <c r="D37" s="3">
        <f t="shared" si="0"/>
        <v>12.5</v>
      </c>
    </row>
    <row r="38" spans="2:4" x14ac:dyDescent="0.3">
      <c r="B38" s="55" t="s">
        <v>27</v>
      </c>
      <c r="C38" s="56">
        <f>VLOOKUP($C$30&amp;"-"&amp;B38,PlanilhadeApoio!A:D,4,FALSE)</f>
        <v>0.2</v>
      </c>
      <c r="D38" s="3">
        <f t="shared" si="0"/>
        <v>50</v>
      </c>
    </row>
    <row r="39" spans="2:4" x14ac:dyDescent="0.3">
      <c r="B39" s="55" t="s">
        <v>28</v>
      </c>
      <c r="C39" s="56">
        <f>VLOOKUP($C$30&amp;"-"&amp;B39,PlanilhadeApoio!A:D,4,FALSE)</f>
        <v>0.1</v>
      </c>
      <c r="D39" s="3">
        <f t="shared" si="0"/>
        <v>25</v>
      </c>
    </row>
    <row r="40" spans="2:4" ht="15" thickBot="1" x14ac:dyDescent="0.35">
      <c r="B40" s="57"/>
      <c r="C40" s="58"/>
      <c r="D40" s="59">
        <f>SUM(D34:D39)</f>
        <v>250</v>
      </c>
    </row>
  </sheetData>
  <mergeCells count="11">
    <mergeCell ref="B21:C21"/>
    <mergeCell ref="B11:C11"/>
    <mergeCell ref="B12:C12"/>
    <mergeCell ref="B13:C13"/>
    <mergeCell ref="B14:C14"/>
    <mergeCell ref="B16:C16"/>
    <mergeCell ref="B23:C23"/>
    <mergeCell ref="B17:C17"/>
    <mergeCell ref="B18:C18"/>
    <mergeCell ref="B19:C19"/>
    <mergeCell ref="B20:C20"/>
  </mergeCells>
  <dataValidations count="1">
    <dataValidation type="list" allowBlank="1" showInputMessage="1" showErrorMessage="1" sqref="C30" xr:uid="{633158BA-A3BD-45F0-A11C-E8CDB9C04C2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1FEC-F0DF-41E4-9402-8303144C2FCE}">
  <dimension ref="A4:H22"/>
  <sheetViews>
    <sheetView workbookViewId="0">
      <selection activeCell="G16" sqref="G16"/>
    </sheetView>
  </sheetViews>
  <sheetFormatPr defaultRowHeight="14.4" x14ac:dyDescent="0.3"/>
  <cols>
    <col min="1" max="1" width="31.5546875" bestFit="1" customWidth="1"/>
    <col min="2" max="2" width="14" bestFit="1" customWidth="1"/>
    <col min="3" max="3" width="17.6640625" bestFit="1" customWidth="1"/>
    <col min="7" max="7" width="17.21875" bestFit="1" customWidth="1"/>
  </cols>
  <sheetData>
    <row r="4" spans="1:8" x14ac:dyDescent="0.3">
      <c r="A4" t="s">
        <v>31</v>
      </c>
      <c r="B4" s="41" t="s">
        <v>19</v>
      </c>
      <c r="C4" s="40" t="s">
        <v>20</v>
      </c>
      <c r="D4" s="2" t="s">
        <v>30</v>
      </c>
    </row>
    <row r="5" spans="1:8" x14ac:dyDescent="0.3">
      <c r="A5" t="str">
        <f>B5&amp;"-"&amp;C5</f>
        <v>CONSERVADOR-PAPEL</v>
      </c>
      <c r="B5" t="s">
        <v>29</v>
      </c>
      <c r="C5" s="2" t="s">
        <v>23</v>
      </c>
      <c r="D5" s="39">
        <v>0.3</v>
      </c>
    </row>
    <row r="6" spans="1:8" x14ac:dyDescent="0.3">
      <c r="A6" t="str">
        <f t="shared" ref="A6:A10" si="0">B6&amp;"-"&amp;C6</f>
        <v>CONSERVADOR-TIJOLO</v>
      </c>
      <c r="B6" t="s">
        <v>29</v>
      </c>
      <c r="C6" s="2" t="s">
        <v>24</v>
      </c>
      <c r="D6" s="39">
        <v>0.5</v>
      </c>
      <c r="G6" t="s">
        <v>33</v>
      </c>
      <c r="H6" s="45">
        <f>VLOOKUP(G6,$A:$D,4,)</f>
        <v>0.4</v>
      </c>
    </row>
    <row r="7" spans="1:8" x14ac:dyDescent="0.3">
      <c r="A7" t="str">
        <f t="shared" si="0"/>
        <v>CONSERVADOR-HÍBRIDOS</v>
      </c>
      <c r="B7" t="s">
        <v>29</v>
      </c>
      <c r="C7" s="2" t="s">
        <v>25</v>
      </c>
      <c r="D7" s="39">
        <v>0.1</v>
      </c>
    </row>
    <row r="8" spans="1:8" x14ac:dyDescent="0.3">
      <c r="A8" t="str">
        <f t="shared" si="0"/>
        <v>CONSERVADOR-FOF´s</v>
      </c>
      <c r="B8" t="s">
        <v>29</v>
      </c>
      <c r="C8" s="2" t="s">
        <v>26</v>
      </c>
      <c r="D8" s="39">
        <v>0.1</v>
      </c>
    </row>
    <row r="9" spans="1:8" x14ac:dyDescent="0.3">
      <c r="A9" t="str">
        <f t="shared" si="0"/>
        <v>CONSERVADOR-DESENVOLVIMENTO</v>
      </c>
      <c r="B9" t="s">
        <v>29</v>
      </c>
      <c r="C9" s="2" t="s">
        <v>27</v>
      </c>
      <c r="D9" s="39">
        <v>0</v>
      </c>
    </row>
    <row r="10" spans="1:8" ht="15" thickBot="1" x14ac:dyDescent="0.35">
      <c r="A10" s="42" t="str">
        <f t="shared" si="0"/>
        <v>CONSERVADOR-HOTELARIA</v>
      </c>
      <c r="B10" s="42" t="s">
        <v>29</v>
      </c>
      <c r="C10" s="43" t="s">
        <v>28</v>
      </c>
      <c r="D10" s="44">
        <v>0</v>
      </c>
    </row>
    <row r="11" spans="1:8" x14ac:dyDescent="0.3">
      <c r="A11" t="str">
        <f>B11&amp;"-"&amp;C11</f>
        <v>MODERADO-PAPEL</v>
      </c>
      <c r="B11" t="s">
        <v>32</v>
      </c>
      <c r="C11" s="2" t="s">
        <v>23</v>
      </c>
      <c r="D11" s="39">
        <v>0.22</v>
      </c>
    </row>
    <row r="12" spans="1:8" x14ac:dyDescent="0.3">
      <c r="A12" t="str">
        <f t="shared" ref="A12:A16" si="1">B12&amp;"-"&amp;C12</f>
        <v>MODERADO-TIJOLO</v>
      </c>
      <c r="B12" t="s">
        <v>32</v>
      </c>
      <c r="C12" s="2" t="s">
        <v>24</v>
      </c>
      <c r="D12" s="39">
        <v>0.4</v>
      </c>
    </row>
    <row r="13" spans="1:8" x14ac:dyDescent="0.3">
      <c r="A13" t="str">
        <f t="shared" si="1"/>
        <v>MODERADO-HÍBRIDOS</v>
      </c>
      <c r="B13" t="s">
        <v>32</v>
      </c>
      <c r="C13" s="2" t="s">
        <v>25</v>
      </c>
      <c r="D13" s="39">
        <v>0.08</v>
      </c>
    </row>
    <row r="14" spans="1:8" x14ac:dyDescent="0.3">
      <c r="A14" t="str">
        <f t="shared" si="1"/>
        <v>MODERADO-FOF´s</v>
      </c>
      <c r="B14" t="s">
        <v>32</v>
      </c>
      <c r="C14" s="2" t="s">
        <v>26</v>
      </c>
      <c r="D14" s="39">
        <v>0.1</v>
      </c>
    </row>
    <row r="15" spans="1:8" x14ac:dyDescent="0.3">
      <c r="A15" t="str">
        <f t="shared" si="1"/>
        <v>MODERADO-DESENVOLVIMENTO</v>
      </c>
      <c r="B15" t="s">
        <v>32</v>
      </c>
      <c r="C15" s="2" t="s">
        <v>27</v>
      </c>
      <c r="D15" s="39">
        <v>0.1</v>
      </c>
    </row>
    <row r="16" spans="1:8" ht="15" thickBot="1" x14ac:dyDescent="0.35">
      <c r="A16" s="42" t="str">
        <f t="shared" si="1"/>
        <v>MODERADO-HOTELARIA</v>
      </c>
      <c r="B16" s="42" t="s">
        <v>32</v>
      </c>
      <c r="C16" s="43" t="s">
        <v>28</v>
      </c>
      <c r="D16" s="44">
        <v>0.1</v>
      </c>
    </row>
    <row r="17" spans="1:4" x14ac:dyDescent="0.3">
      <c r="A17" t="str">
        <f>B17&amp;"-"&amp;C17</f>
        <v>AGRESSIVO-PAPEL</v>
      </c>
      <c r="B17" t="s">
        <v>17</v>
      </c>
      <c r="C17" s="2" t="s">
        <v>23</v>
      </c>
      <c r="D17" s="39">
        <v>0.5</v>
      </c>
    </row>
    <row r="18" spans="1:4" x14ac:dyDescent="0.3">
      <c r="A18" t="str">
        <f t="shared" ref="A18:A22" si="2">B18&amp;"-"&amp;C18</f>
        <v>AGRESSIVO-TIJOLO</v>
      </c>
      <c r="B18" t="s">
        <v>17</v>
      </c>
      <c r="C18" s="2" t="s">
        <v>24</v>
      </c>
      <c r="D18" s="39">
        <v>0.1</v>
      </c>
    </row>
    <row r="19" spans="1:4" x14ac:dyDescent="0.3">
      <c r="A19" t="str">
        <f t="shared" si="2"/>
        <v>AGRESSIVO-HÍBRIDOS</v>
      </c>
      <c r="B19" t="s">
        <v>17</v>
      </c>
      <c r="C19" s="2" t="s">
        <v>25</v>
      </c>
      <c r="D19" s="39">
        <v>0.05</v>
      </c>
    </row>
    <row r="20" spans="1:4" x14ac:dyDescent="0.3">
      <c r="A20" t="str">
        <f t="shared" si="2"/>
        <v>AGRESSIVO-FOF´s</v>
      </c>
      <c r="B20" t="s">
        <v>17</v>
      </c>
      <c r="C20" s="2" t="s">
        <v>26</v>
      </c>
      <c r="D20" s="39">
        <v>0.05</v>
      </c>
    </row>
    <row r="21" spans="1:4" x14ac:dyDescent="0.3">
      <c r="A21" t="str">
        <f t="shared" si="2"/>
        <v>AGRESSIVO-DESENVOLVIMENTO</v>
      </c>
      <c r="B21" t="s">
        <v>17</v>
      </c>
      <c r="C21" s="2" t="s">
        <v>27</v>
      </c>
      <c r="D21" s="39">
        <v>0.2</v>
      </c>
    </row>
    <row r="22" spans="1:4" ht="15" thickBot="1" x14ac:dyDescent="0.35">
      <c r="A22" s="42" t="str">
        <f t="shared" si="2"/>
        <v>AGRESSIVO-HOTELARIA</v>
      </c>
      <c r="B22" s="42" t="s">
        <v>17</v>
      </c>
      <c r="C22" s="43" t="s">
        <v>28</v>
      </c>
      <c r="D22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PlanilhadeApoio</vt:lpstr>
      <vt:lpstr>aporte</vt:lpstr>
      <vt:lpstr>patrimonio</vt:lpstr>
      <vt:lpstr>qtde_anos</vt:lpstr>
      <vt:lpstr>rendimento_carteira</vt:lpstr>
      <vt:lpstr>salario</vt:lpstr>
      <vt:lpstr>sugestao</vt:lpstr>
      <vt:lpstr>taxa_anos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Degani</dc:creator>
  <cp:lastModifiedBy>Marcelo Degani</cp:lastModifiedBy>
  <dcterms:created xsi:type="dcterms:W3CDTF">2026-02-09T17:15:13Z</dcterms:created>
  <dcterms:modified xsi:type="dcterms:W3CDTF">2026-02-09T23:43:33Z</dcterms:modified>
</cp:coreProperties>
</file>